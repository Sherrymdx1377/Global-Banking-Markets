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2C9048B0-B4B1-4A8D-A9D9-C31ACC711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2BtGHubyrG9lVsZePn4JaUZ9qBQ=="/>
    </ext>
  </extLst>
</workbook>
</file>

<file path=xl/calcChain.xml><?xml version="1.0" encoding="utf-8"?>
<calcChain xmlns="http://schemas.openxmlformats.org/spreadsheetml/2006/main">
  <c r="D28" i="1" l="1"/>
  <c r="D29" i="1" s="1"/>
  <c r="D25" i="1"/>
  <c r="D32" i="1" s="1"/>
  <c r="D33" i="1" s="1"/>
  <c r="P24" i="1"/>
  <c r="Q24" i="1" s="1"/>
  <c r="R24" i="1" s="1"/>
  <c r="E24" i="1"/>
  <c r="F24" i="1" s="1"/>
  <c r="L23" i="1"/>
  <c r="P23" i="1" s="1"/>
  <c r="E23" i="1"/>
  <c r="F23" i="1" s="1"/>
  <c r="R21" i="1"/>
  <c r="Q21" i="1"/>
  <c r="P21" i="1"/>
  <c r="J19" i="1"/>
  <c r="I19" i="1"/>
  <c r="H19" i="1"/>
  <c r="F19" i="1"/>
  <c r="E19" i="1"/>
  <c r="D19" i="1"/>
  <c r="J16" i="1"/>
  <c r="I16" i="1"/>
  <c r="H16" i="1"/>
  <c r="F16" i="1"/>
  <c r="R16" i="1" s="1"/>
  <c r="E16" i="1"/>
  <c r="Q16" i="1" s="1"/>
  <c r="D16" i="1"/>
  <c r="P16" i="1" s="1"/>
  <c r="J14" i="1"/>
  <c r="I14" i="1"/>
  <c r="H14" i="1"/>
  <c r="F14" i="1"/>
  <c r="E14" i="1"/>
  <c r="D14" i="1"/>
  <c r="R13" i="1"/>
  <c r="Q13" i="1"/>
  <c r="P13" i="1"/>
  <c r="J11" i="1"/>
  <c r="I11" i="1"/>
  <c r="F11" i="1"/>
  <c r="E11" i="1"/>
  <c r="R10" i="1"/>
  <c r="R11" i="1" s="1"/>
  <c r="Q10" i="1"/>
  <c r="Q11" i="1" s="1"/>
  <c r="P10" i="1"/>
  <c r="P18" i="1" l="1"/>
  <c r="P25" i="1"/>
  <c r="P28" i="1"/>
  <c r="P29" i="1" s="1"/>
  <c r="F25" i="1"/>
  <c r="F32" i="1" s="1"/>
  <c r="F33" i="1" s="1"/>
  <c r="F28" i="1"/>
  <c r="F29" i="1" s="1"/>
  <c r="Q18" i="1"/>
  <c r="R18" i="1"/>
  <c r="E28" i="1"/>
  <c r="E29" i="1" s="1"/>
  <c r="P14" i="1"/>
  <c r="Q14" i="1"/>
  <c r="R14" i="1"/>
  <c r="E25" i="1"/>
  <c r="E32" i="1" s="1"/>
  <c r="E33" i="1" s="1"/>
  <c r="R19" i="1" l="1"/>
  <c r="Q19" i="1"/>
  <c r="Q23" i="1"/>
  <c r="P32" i="1"/>
  <c r="P33" i="1" s="1"/>
  <c r="P19" i="1"/>
  <c r="Q25" i="1" l="1"/>
  <c r="Q32" i="1" s="1"/>
  <c r="Q33" i="1" s="1"/>
  <c r="Q28" i="1"/>
  <c r="Q29" i="1" s="1"/>
  <c r="R23" i="1"/>
  <c r="R25" i="1" l="1"/>
  <c r="R32" i="1" s="1"/>
  <c r="R33" i="1" s="1"/>
  <c r="R28" i="1"/>
  <c r="R29" i="1" s="1"/>
</calcChain>
</file>

<file path=xl/sharedStrings.xml><?xml version="1.0" encoding="utf-8"?>
<sst xmlns="http://schemas.openxmlformats.org/spreadsheetml/2006/main" count="53" uniqueCount="36">
  <si>
    <t>Restaurant Group - Deal Financial Analysis</t>
  </si>
  <si>
    <t>Notes:</t>
  </si>
  <si>
    <t>2020 "A" means actual results achieved for 2020</t>
  </si>
  <si>
    <t>2021 "F" means forecasted results for 2021</t>
  </si>
  <si>
    <t>202x "PF" illustrates the financials of the acquirer post-merger (i.e. acquirer + target + adjustments)</t>
  </si>
  <si>
    <t>Acquirer: Restaurant Group</t>
  </si>
  <si>
    <t>Target: Restaurant C</t>
  </si>
  <si>
    <t>Adjustments</t>
  </si>
  <si>
    <t>MergeCo</t>
  </si>
  <si>
    <t>31-Dec Year-End</t>
  </si>
  <si>
    <t>Unit</t>
  </si>
  <si>
    <t>2020A</t>
  </si>
  <si>
    <t>2021F</t>
  </si>
  <si>
    <t>2022F</t>
  </si>
  <si>
    <t>2020PF</t>
  </si>
  <si>
    <t>2021PF</t>
  </si>
  <si>
    <t>2022PF</t>
  </si>
  <si>
    <t>Revenue</t>
  </si>
  <si>
    <t>$M</t>
  </si>
  <si>
    <t>Growth %</t>
  </si>
  <si>
    <t>%</t>
  </si>
  <si>
    <t>EBITDA (Earnings before Interest, Tax and D&amp;A)</t>
  </si>
  <si>
    <t>Margin %</t>
  </si>
  <si>
    <t>Depreciation &amp; Amortisation (D&amp;A)</t>
  </si>
  <si>
    <t>Operating Income (EBIT)</t>
  </si>
  <si>
    <t>Capital Expenditure</t>
  </si>
  <si>
    <t>Net Debt (Debt less Cash)</t>
  </si>
  <si>
    <t>Debt Interest Rate %</t>
  </si>
  <si>
    <t>Net Interest Expense</t>
  </si>
  <si>
    <t>Net Leverage Ratio Test</t>
  </si>
  <si>
    <t>Net Debt / EBITDA</t>
  </si>
  <si>
    <t>x</t>
  </si>
  <si>
    <t>Below 5x Internal Benchmark?</t>
  </si>
  <si>
    <t>Interest Coverage Ratio Test</t>
  </si>
  <si>
    <t>Net Interest Expense / EBIT</t>
  </si>
  <si>
    <t>Above 2x Internal Benchmark?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</si>
</sst>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\x_);\(0.0\x\);0.0\x_);@_)"/>
    <numFmt numFmtId="167" formatCode="0.0%_);\(0.0%\);0.0%_);@_)"/>
  </numFmts>
  <fonts count="14" x14ac:knownFonts="1">
    <font>
      <sz val="11"/>
      <color theme="1"/>
      <name val="Calibri"/>
      <scheme val="minor"/>
    </font>
    <font>
      <sz val="12"/>
      <color theme="1"/>
      <name val="Arial"/>
    </font>
    <font>
      <b/>
      <sz val="12"/>
      <color rgb="FFFFFFFF"/>
      <name val="Arial"/>
    </font>
    <font>
      <b/>
      <sz val="12"/>
      <color theme="0"/>
      <name val="Arial"/>
    </font>
    <font>
      <sz val="10"/>
      <color theme="1"/>
      <name val="Arial"/>
    </font>
    <font>
      <b/>
      <u/>
      <sz val="10"/>
      <color theme="1"/>
      <name val="Arial"/>
    </font>
    <font>
      <b/>
      <sz val="10"/>
      <color rgb="FFFFFFFF"/>
      <name val="Arial"/>
    </font>
    <font>
      <sz val="11"/>
      <name val="Calibri"/>
    </font>
    <font>
      <b/>
      <sz val="10"/>
      <color theme="0"/>
      <name val="Arial"/>
    </font>
    <font>
      <b/>
      <sz val="10"/>
      <color theme="1"/>
      <name val="Arial"/>
    </font>
    <font>
      <sz val="10"/>
      <color rgb="FF0000FF"/>
      <name val="Arial"/>
    </font>
    <font>
      <i/>
      <sz val="10"/>
      <color theme="1"/>
      <name val="Arial"/>
    </font>
    <font>
      <i/>
      <sz val="10"/>
      <color rgb="FF000000"/>
      <name val="Arial"/>
    </font>
    <font>
      <b/>
      <u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B0011"/>
        <bgColor rgb="FFDB0011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5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right"/>
    </xf>
    <xf numFmtId="0" fontId="4" fillId="0" borderId="0" xfId="0" applyFont="1" applyAlignment="1">
      <alignment horizontal="center"/>
    </xf>
    <xf numFmtId="164" fontId="10" fillId="0" borderId="0" xfId="0" applyNumberFormat="1" applyFont="1"/>
    <xf numFmtId="164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5" fontId="12" fillId="0" borderId="0" xfId="0" applyNumberFormat="1" applyFont="1"/>
    <xf numFmtId="0" fontId="4" fillId="0" borderId="0" xfId="0" applyFont="1" applyAlignment="1">
      <alignment horizontal="left"/>
    </xf>
    <xf numFmtId="165" fontId="10" fillId="0" borderId="0" xfId="0" applyNumberFormat="1" applyFont="1"/>
    <xf numFmtId="165" fontId="4" fillId="0" borderId="0" xfId="0" applyNumberFormat="1" applyFont="1"/>
    <xf numFmtId="0" fontId="13" fillId="0" borderId="0" xfId="0" applyFont="1"/>
    <xf numFmtId="0" fontId="9" fillId="0" borderId="0" xfId="0" applyFont="1"/>
    <xf numFmtId="166" fontId="4" fillId="0" borderId="0" xfId="0" applyNumberFormat="1" applyFont="1"/>
    <xf numFmtId="166" fontId="9" fillId="0" borderId="0" xfId="0" applyNumberFormat="1" applyFont="1" applyAlignment="1">
      <alignment horizontal="right"/>
    </xf>
    <xf numFmtId="167" fontId="4" fillId="0" borderId="0" xfId="0" applyNumberFormat="1" applyFont="1"/>
    <xf numFmtId="9" fontId="4" fillId="0" borderId="0" xfId="0" applyNumberFormat="1" applyFont="1"/>
    <xf numFmtId="0" fontId="6" fillId="2" borderId="10" xfId="0" applyFont="1" applyFill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6" fillId="3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23</xdr:row>
      <xdr:rowOff>171450</xdr:rowOff>
    </xdr:from>
    <xdr:ext cx="1819275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45888" y="3613313"/>
          <a:ext cx="1800225" cy="333375"/>
        </a:xfrm>
        <a:prstGeom prst="wedgeRectCallout">
          <a:avLst>
            <a:gd name="adj1" fmla="val -23914"/>
            <a:gd name="adj2" fmla="val -91580"/>
          </a:avLst>
        </a:prstGeom>
        <a:solidFill>
          <a:srgbClr val="DB001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This is the new debt used to acquire the target (OrientalChef)</a:t>
          </a:r>
          <a:endParaRPr sz="1400"/>
        </a:p>
      </xdr:txBody>
    </xdr:sp>
    <xdr:clientData fLocksWithSheet="0"/>
  </xdr:oneCellAnchor>
  <xdr:oneCellAnchor>
    <xdr:from>
      <xdr:col>11</xdr:col>
      <xdr:colOff>390525</xdr:colOff>
      <xdr:row>13</xdr:row>
      <xdr:rowOff>47625</xdr:rowOff>
    </xdr:from>
    <xdr:ext cx="1809750" cy="476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450650" y="3546638"/>
          <a:ext cx="1790700" cy="466725"/>
        </a:xfrm>
        <a:prstGeom prst="wedgeRectCallout">
          <a:avLst>
            <a:gd name="adj1" fmla="val -12672"/>
            <a:gd name="adj2" fmla="val -67890"/>
          </a:avLst>
        </a:prstGeom>
        <a:solidFill>
          <a:srgbClr val="DB001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This is annual cost savings from the acquisition (e.g. removing duplicate costs, increased efficiencies, etc)</a:t>
          </a:r>
          <a:endParaRPr sz="8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400050</xdr:colOff>
      <xdr:row>10</xdr:row>
      <xdr:rowOff>19050</xdr:rowOff>
    </xdr:from>
    <xdr:ext cx="1809750" cy="333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450650" y="3622838"/>
          <a:ext cx="1790700" cy="314325"/>
        </a:xfrm>
        <a:prstGeom prst="wedgeRectCallout">
          <a:avLst>
            <a:gd name="adj1" fmla="val -13264"/>
            <a:gd name="adj2" fmla="val -80216"/>
          </a:avLst>
        </a:prstGeom>
        <a:solidFill>
          <a:srgbClr val="DB001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This is annual revenue synergies (e.g. cross-selling benefits)</a:t>
          </a:r>
          <a:endParaRPr sz="8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1219200</xdr:colOff>
      <xdr:row>19</xdr:row>
      <xdr:rowOff>95250</xdr:rowOff>
    </xdr:from>
    <xdr:ext cx="2085975" cy="342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307775" y="3613313"/>
          <a:ext cx="2076450" cy="333375"/>
        </a:xfrm>
        <a:prstGeom prst="wedgeRectCallout">
          <a:avLst>
            <a:gd name="adj1" fmla="val -55178"/>
            <a:gd name="adj2" fmla="val -17800"/>
          </a:avLst>
        </a:prstGeom>
        <a:solidFill>
          <a:srgbClr val="DB001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This is the annual spend on property and equipment by the businesses</a:t>
          </a:r>
          <a:endParaRPr sz="8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4.44140625" defaultRowHeight="15" customHeight="1" x14ac:dyDescent="0.3"/>
  <cols>
    <col min="1" max="1" width="2.88671875" customWidth="1"/>
    <col min="2" max="2" width="43.44140625" customWidth="1"/>
    <col min="3" max="3" width="15.88671875" customWidth="1"/>
    <col min="4" max="6" width="10.88671875" customWidth="1"/>
    <col min="7" max="7" width="2.88671875" customWidth="1"/>
    <col min="8" max="10" width="10.88671875" customWidth="1"/>
    <col min="11" max="11" width="2.88671875" customWidth="1"/>
    <col min="12" max="14" width="10.88671875" customWidth="1"/>
    <col min="15" max="15" width="2.88671875" customWidth="1"/>
    <col min="16" max="18" width="10.88671875" customWidth="1"/>
    <col min="19" max="26" width="10.6640625" customWidth="1"/>
  </cols>
  <sheetData>
    <row r="1" spans="1:26" ht="27.75" customHeight="1" x14ac:dyDescent="0.3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3">
      <c r="A3" s="4"/>
      <c r="B3" s="5" t="s">
        <v>1</v>
      </c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">
      <c r="A4" s="4"/>
      <c r="B4" s="8" t="s">
        <v>2</v>
      </c>
      <c r="C4" s="4"/>
      <c r="D4" s="4"/>
      <c r="E4" s="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3">
      <c r="A5" s="4"/>
      <c r="B5" s="8" t="s">
        <v>3</v>
      </c>
      <c r="C5" s="4"/>
      <c r="D5" s="4"/>
      <c r="E5" s="4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3">
      <c r="A6" s="4"/>
      <c r="B6" s="10" t="s">
        <v>4</v>
      </c>
      <c r="C6" s="11"/>
      <c r="D6" s="11"/>
      <c r="E6" s="11"/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3">
      <c r="A8" s="4"/>
      <c r="B8" s="4"/>
      <c r="C8" s="4"/>
      <c r="D8" s="32" t="s">
        <v>5</v>
      </c>
      <c r="E8" s="33"/>
      <c r="F8" s="34"/>
      <c r="G8" s="4"/>
      <c r="H8" s="35" t="s">
        <v>6</v>
      </c>
      <c r="I8" s="33"/>
      <c r="J8" s="34"/>
      <c r="K8" s="4"/>
      <c r="L8" s="36" t="s">
        <v>7</v>
      </c>
      <c r="M8" s="33"/>
      <c r="N8" s="34"/>
      <c r="O8" s="4"/>
      <c r="P8" s="37" t="s">
        <v>8</v>
      </c>
      <c r="Q8" s="33"/>
      <c r="R8" s="3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3">
      <c r="A9" s="4"/>
      <c r="B9" s="13" t="s">
        <v>9</v>
      </c>
      <c r="C9" s="14" t="s">
        <v>10</v>
      </c>
      <c r="D9" s="15" t="s">
        <v>11</v>
      </c>
      <c r="E9" s="15" t="s">
        <v>12</v>
      </c>
      <c r="F9" s="15" t="s">
        <v>13</v>
      </c>
      <c r="G9" s="4"/>
      <c r="H9" s="15" t="s">
        <v>11</v>
      </c>
      <c r="I9" s="15" t="s">
        <v>12</v>
      </c>
      <c r="J9" s="15" t="s">
        <v>13</v>
      </c>
      <c r="K9" s="4"/>
      <c r="L9" s="15" t="s">
        <v>11</v>
      </c>
      <c r="M9" s="15" t="s">
        <v>12</v>
      </c>
      <c r="N9" s="15" t="s">
        <v>13</v>
      </c>
      <c r="O9" s="4"/>
      <c r="P9" s="15" t="s">
        <v>14</v>
      </c>
      <c r="Q9" s="15" t="s">
        <v>15</v>
      </c>
      <c r="R9" s="15" t="s">
        <v>16</v>
      </c>
      <c r="S9" s="4"/>
      <c r="T9" s="4"/>
      <c r="U9" s="4"/>
      <c r="V9" s="4"/>
      <c r="W9" s="4"/>
      <c r="X9" s="4"/>
      <c r="Y9" s="4"/>
      <c r="Z9" s="4"/>
    </row>
    <row r="10" spans="1:26" ht="15" customHeight="1" x14ac:dyDescent="0.3">
      <c r="A10" s="4"/>
      <c r="B10" s="4" t="s">
        <v>17</v>
      </c>
      <c r="C10" s="16" t="s">
        <v>18</v>
      </c>
      <c r="D10" s="17">
        <v>590</v>
      </c>
      <c r="E10" s="17">
        <v>630</v>
      </c>
      <c r="F10" s="17">
        <v>670</v>
      </c>
      <c r="G10" s="4"/>
      <c r="H10" s="17">
        <v>300</v>
      </c>
      <c r="I10" s="17">
        <v>325</v>
      </c>
      <c r="J10" s="17">
        <v>350</v>
      </c>
      <c r="K10" s="4"/>
      <c r="L10" s="17">
        <v>20</v>
      </c>
      <c r="M10" s="17">
        <v>40</v>
      </c>
      <c r="N10" s="17">
        <v>40</v>
      </c>
      <c r="O10" s="4"/>
      <c r="P10" s="18">
        <f t="shared" ref="P10:R10" si="0">D10+H10+L10</f>
        <v>910</v>
      </c>
      <c r="Q10" s="18">
        <f t="shared" si="0"/>
        <v>995</v>
      </c>
      <c r="R10" s="18">
        <f t="shared" si="0"/>
        <v>1060</v>
      </c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3">
      <c r="A11" s="19"/>
      <c r="B11" s="20" t="s">
        <v>19</v>
      </c>
      <c r="C11" s="21" t="s">
        <v>20</v>
      </c>
      <c r="D11" s="22">
        <v>7.2727272727272751E-2</v>
      </c>
      <c r="E11" s="22">
        <f t="shared" ref="E11:F11" si="1">E10/D10-1</f>
        <v>6.7796610169491567E-2</v>
      </c>
      <c r="F11" s="22">
        <f t="shared" si="1"/>
        <v>6.3492063492063489E-2</v>
      </c>
      <c r="G11" s="19"/>
      <c r="H11" s="22">
        <v>0.1</v>
      </c>
      <c r="I11" s="22">
        <f t="shared" ref="I11:J11" si="2">I10/H10-1</f>
        <v>8.3333333333333259E-2</v>
      </c>
      <c r="J11" s="22">
        <f t="shared" si="2"/>
        <v>7.6923076923076872E-2</v>
      </c>
      <c r="K11" s="19"/>
      <c r="L11" s="22"/>
      <c r="M11" s="22"/>
      <c r="N11" s="22"/>
      <c r="O11" s="19"/>
      <c r="P11" s="22"/>
      <c r="Q11" s="22">
        <f t="shared" ref="Q11:R11" si="3">Q10/P10-1</f>
        <v>9.3406593406593297E-2</v>
      </c>
      <c r="R11" s="22">
        <f t="shared" si="3"/>
        <v>6.5326633165829096E-2</v>
      </c>
      <c r="S11" s="19"/>
      <c r="T11" s="19"/>
      <c r="U11" s="19"/>
      <c r="V11" s="19"/>
      <c r="W11" s="19"/>
      <c r="X11" s="19"/>
      <c r="Y11" s="19"/>
      <c r="Z11" s="19"/>
    </row>
    <row r="12" spans="1:26" ht="14.4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3">
      <c r="A13" s="4"/>
      <c r="B13" s="4" t="s">
        <v>21</v>
      </c>
      <c r="C13" s="16" t="s">
        <v>18</v>
      </c>
      <c r="D13" s="17">
        <v>170</v>
      </c>
      <c r="E13" s="17">
        <v>183</v>
      </c>
      <c r="F13" s="17">
        <v>198</v>
      </c>
      <c r="G13" s="4"/>
      <c r="H13" s="17">
        <v>80</v>
      </c>
      <c r="I13" s="17">
        <v>87.25</v>
      </c>
      <c r="J13" s="17">
        <v>94.5</v>
      </c>
      <c r="K13" s="4"/>
      <c r="L13" s="17">
        <v>15</v>
      </c>
      <c r="M13" s="17">
        <v>30</v>
      </c>
      <c r="N13" s="17">
        <v>30</v>
      </c>
      <c r="O13" s="4"/>
      <c r="P13" s="18">
        <f t="shared" ref="P13:R13" si="4">D13+H13+L13</f>
        <v>265</v>
      </c>
      <c r="Q13" s="18">
        <f t="shared" si="4"/>
        <v>300.25</v>
      </c>
      <c r="R13" s="18">
        <f t="shared" si="4"/>
        <v>322.5</v>
      </c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3">
      <c r="A14" s="4"/>
      <c r="B14" s="20" t="s">
        <v>22</v>
      </c>
      <c r="C14" s="21" t="s">
        <v>20</v>
      </c>
      <c r="D14" s="22">
        <f t="shared" ref="D14:F14" si="5">D13/D$10</f>
        <v>0.28813559322033899</v>
      </c>
      <c r="E14" s="22">
        <f t="shared" si="5"/>
        <v>0.2904761904761905</v>
      </c>
      <c r="F14" s="22">
        <f t="shared" si="5"/>
        <v>0.29552238805970149</v>
      </c>
      <c r="G14" s="4"/>
      <c r="H14" s="22">
        <f t="shared" ref="H14:J14" si="6">H13/H$10</f>
        <v>0.26666666666666666</v>
      </c>
      <c r="I14" s="22">
        <f t="shared" si="6"/>
        <v>0.26846153846153847</v>
      </c>
      <c r="J14" s="22">
        <f t="shared" si="6"/>
        <v>0.27</v>
      </c>
      <c r="K14" s="4"/>
      <c r="L14" s="4"/>
      <c r="M14" s="4"/>
      <c r="N14" s="4"/>
      <c r="O14" s="4"/>
      <c r="P14" s="22">
        <f t="shared" ref="P14:R14" si="7">P13/P$10</f>
        <v>0.29120879120879123</v>
      </c>
      <c r="Q14" s="22">
        <f t="shared" si="7"/>
        <v>0.30175879396984923</v>
      </c>
      <c r="R14" s="22">
        <f t="shared" si="7"/>
        <v>0.30424528301886794</v>
      </c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3">
      <c r="A16" s="4"/>
      <c r="B16" s="4" t="s">
        <v>23</v>
      </c>
      <c r="C16" s="16" t="s">
        <v>18</v>
      </c>
      <c r="D16" s="18">
        <f t="shared" ref="D16:F16" si="8">D13-D18</f>
        <v>30</v>
      </c>
      <c r="E16" s="18">
        <f t="shared" si="8"/>
        <v>31</v>
      </c>
      <c r="F16" s="18">
        <f t="shared" si="8"/>
        <v>33</v>
      </c>
      <c r="G16" s="4"/>
      <c r="H16" s="18">
        <f t="shared" ref="H16:J16" si="9">H13-H18</f>
        <v>15</v>
      </c>
      <c r="I16" s="18">
        <f t="shared" si="9"/>
        <v>16.25</v>
      </c>
      <c r="J16" s="18">
        <f t="shared" si="9"/>
        <v>17.5</v>
      </c>
      <c r="K16" s="4"/>
      <c r="L16" s="4"/>
      <c r="M16" s="4"/>
      <c r="N16" s="4"/>
      <c r="O16" s="4"/>
      <c r="P16" s="18">
        <f t="shared" ref="P16:R16" si="10">D16+H16+L16</f>
        <v>45</v>
      </c>
      <c r="Q16" s="18">
        <f t="shared" si="10"/>
        <v>47.25</v>
      </c>
      <c r="R16" s="18">
        <f t="shared" si="10"/>
        <v>50.5</v>
      </c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3">
      <c r="A18" s="4"/>
      <c r="B18" s="4" t="s">
        <v>24</v>
      </c>
      <c r="C18" s="16" t="s">
        <v>18</v>
      </c>
      <c r="D18" s="17">
        <v>140</v>
      </c>
      <c r="E18" s="17">
        <v>152</v>
      </c>
      <c r="F18" s="17">
        <v>165</v>
      </c>
      <c r="G18" s="4"/>
      <c r="H18" s="17">
        <v>65</v>
      </c>
      <c r="I18" s="17">
        <v>71</v>
      </c>
      <c r="J18" s="17">
        <v>77</v>
      </c>
      <c r="K18" s="4"/>
      <c r="L18" s="17"/>
      <c r="M18" s="17"/>
      <c r="N18" s="17"/>
      <c r="O18" s="4"/>
      <c r="P18" s="18">
        <f t="shared" ref="P18:R18" si="11">P13-P16</f>
        <v>220</v>
      </c>
      <c r="Q18" s="18">
        <f t="shared" si="11"/>
        <v>253</v>
      </c>
      <c r="R18" s="18">
        <f t="shared" si="11"/>
        <v>272</v>
      </c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3">
      <c r="A19" s="19"/>
      <c r="B19" s="20" t="s">
        <v>22</v>
      </c>
      <c r="C19" s="21" t="s">
        <v>20</v>
      </c>
      <c r="D19" s="22">
        <f t="shared" ref="D19:F19" si="12">D18/D$10</f>
        <v>0.23728813559322035</v>
      </c>
      <c r="E19" s="22">
        <f t="shared" si="12"/>
        <v>0.24126984126984127</v>
      </c>
      <c r="F19" s="22">
        <f t="shared" si="12"/>
        <v>0.2462686567164179</v>
      </c>
      <c r="G19" s="19"/>
      <c r="H19" s="22">
        <f t="shared" ref="H19:J19" si="13">H18/H$10</f>
        <v>0.21666666666666667</v>
      </c>
      <c r="I19" s="22">
        <f t="shared" si="13"/>
        <v>0.21846153846153846</v>
      </c>
      <c r="J19" s="22">
        <f t="shared" si="13"/>
        <v>0.22</v>
      </c>
      <c r="K19" s="19"/>
      <c r="L19" s="22"/>
      <c r="M19" s="22"/>
      <c r="N19" s="22"/>
      <c r="O19" s="19"/>
      <c r="P19" s="22">
        <f t="shared" ref="P19:R19" si="14">P18/P$10</f>
        <v>0.24175824175824176</v>
      </c>
      <c r="Q19" s="22">
        <f t="shared" si="14"/>
        <v>0.2542713567839196</v>
      </c>
      <c r="R19" s="22">
        <f t="shared" si="14"/>
        <v>0.25660377358490566</v>
      </c>
      <c r="S19" s="19"/>
      <c r="T19" s="19"/>
      <c r="U19" s="19"/>
      <c r="V19" s="19"/>
      <c r="W19" s="19"/>
      <c r="X19" s="19"/>
      <c r="Y19" s="19"/>
      <c r="Z19" s="19"/>
    </row>
    <row r="20" spans="1:26" ht="14.4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3">
      <c r="A21" s="4"/>
      <c r="B21" s="4" t="s">
        <v>25</v>
      </c>
      <c r="C21" s="16" t="s">
        <v>18</v>
      </c>
      <c r="D21" s="17">
        <v>35</v>
      </c>
      <c r="E21" s="17">
        <v>37</v>
      </c>
      <c r="F21" s="17">
        <v>39</v>
      </c>
      <c r="G21" s="4"/>
      <c r="H21" s="17">
        <v>15</v>
      </c>
      <c r="I21" s="17">
        <v>16</v>
      </c>
      <c r="J21" s="17">
        <v>17</v>
      </c>
      <c r="K21" s="4"/>
      <c r="L21" s="4"/>
      <c r="M21" s="4"/>
      <c r="N21" s="4"/>
      <c r="O21" s="4"/>
      <c r="P21" s="18">
        <f t="shared" ref="P21:R21" si="15">D21+H21+L21</f>
        <v>50</v>
      </c>
      <c r="Q21" s="18">
        <f t="shared" si="15"/>
        <v>53</v>
      </c>
      <c r="R21" s="18">
        <f t="shared" si="15"/>
        <v>56</v>
      </c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3">
      <c r="A23" s="4"/>
      <c r="B23" s="4" t="s">
        <v>26</v>
      </c>
      <c r="C23" s="16" t="s">
        <v>18</v>
      </c>
      <c r="D23" s="17">
        <v>840</v>
      </c>
      <c r="E23" s="18">
        <f t="shared" ref="E23:F23" si="16">D23-E18+E21</f>
        <v>725</v>
      </c>
      <c r="F23" s="18">
        <f t="shared" si="16"/>
        <v>599</v>
      </c>
      <c r="G23" s="4"/>
      <c r="H23" s="4"/>
      <c r="I23" s="4"/>
      <c r="J23" s="4"/>
      <c r="K23" s="4"/>
      <c r="L23" s="17">
        <f>80*5</f>
        <v>400</v>
      </c>
      <c r="M23" s="4"/>
      <c r="N23" s="4"/>
      <c r="O23" s="4"/>
      <c r="P23" s="18">
        <f>D23+L23</f>
        <v>1240</v>
      </c>
      <c r="Q23" s="18">
        <f t="shared" ref="Q23:R23" si="17">P23-Q18+Q21</f>
        <v>1040</v>
      </c>
      <c r="R23" s="18">
        <f t="shared" si="17"/>
        <v>824</v>
      </c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3">
      <c r="A24" s="4"/>
      <c r="B24" s="23" t="s">
        <v>27</v>
      </c>
      <c r="C24" s="16" t="s">
        <v>20</v>
      </c>
      <c r="D24" s="24">
        <v>0.04</v>
      </c>
      <c r="E24" s="25">
        <f t="shared" ref="E24:F24" si="18">D24</f>
        <v>0.04</v>
      </c>
      <c r="F24" s="25">
        <f t="shared" si="18"/>
        <v>0.04</v>
      </c>
      <c r="G24" s="4"/>
      <c r="H24" s="4"/>
      <c r="I24" s="4"/>
      <c r="J24" s="4"/>
      <c r="K24" s="4"/>
      <c r="L24" s="4"/>
      <c r="M24" s="4"/>
      <c r="N24" s="4"/>
      <c r="O24" s="4"/>
      <c r="P24" s="25">
        <f>D24</f>
        <v>0.04</v>
      </c>
      <c r="Q24" s="25">
        <f t="shared" ref="Q24:R24" si="19">P24</f>
        <v>0.04</v>
      </c>
      <c r="R24" s="25">
        <f t="shared" si="19"/>
        <v>0.04</v>
      </c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3">
      <c r="A25" s="4"/>
      <c r="B25" s="4" t="s">
        <v>28</v>
      </c>
      <c r="C25" s="16" t="s">
        <v>18</v>
      </c>
      <c r="D25" s="18">
        <f t="shared" ref="D25:F25" si="20">D23*D24</f>
        <v>33.6</v>
      </c>
      <c r="E25" s="18">
        <f t="shared" si="20"/>
        <v>29</v>
      </c>
      <c r="F25" s="18">
        <f t="shared" si="20"/>
        <v>23.96</v>
      </c>
      <c r="G25" s="4"/>
      <c r="H25" s="4"/>
      <c r="I25" s="4"/>
      <c r="J25" s="4"/>
      <c r="K25" s="4"/>
      <c r="L25" s="4"/>
      <c r="M25" s="4"/>
      <c r="N25" s="4"/>
      <c r="O25" s="4"/>
      <c r="P25" s="18">
        <f t="shared" ref="P25:R25" si="21">P23*P24</f>
        <v>49.6</v>
      </c>
      <c r="Q25" s="18">
        <f t="shared" si="21"/>
        <v>41.6</v>
      </c>
      <c r="R25" s="18">
        <f t="shared" si="21"/>
        <v>32.96</v>
      </c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3">
      <c r="A27" s="4"/>
      <c r="B27" s="26" t="s">
        <v>29</v>
      </c>
      <c r="C27" s="2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3">
      <c r="A28" s="4"/>
      <c r="B28" s="4" t="s">
        <v>30</v>
      </c>
      <c r="C28" s="21" t="s">
        <v>31</v>
      </c>
      <c r="D28" s="28">
        <f t="shared" ref="D28:F28" si="22">D23/D13</f>
        <v>4.9411764705882355</v>
      </c>
      <c r="E28" s="28">
        <f t="shared" si="22"/>
        <v>3.9617486338797816</v>
      </c>
      <c r="F28" s="28">
        <f t="shared" si="22"/>
        <v>3.0252525252525251</v>
      </c>
      <c r="G28" s="4"/>
      <c r="H28" s="4"/>
      <c r="I28" s="4"/>
      <c r="J28" s="4"/>
      <c r="K28" s="4"/>
      <c r="L28" s="4"/>
      <c r="M28" s="4"/>
      <c r="N28" s="4"/>
      <c r="O28" s="4"/>
      <c r="P28" s="28">
        <f t="shared" ref="P28:R28" si="23">P23/P13</f>
        <v>4.6792452830188678</v>
      </c>
      <c r="Q28" s="28">
        <f t="shared" si="23"/>
        <v>3.4637801831806829</v>
      </c>
      <c r="R28" s="28">
        <f t="shared" si="23"/>
        <v>2.5550387596899227</v>
      </c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3">
      <c r="A29" s="4"/>
      <c r="B29" s="27" t="s">
        <v>32</v>
      </c>
      <c r="C29" s="21"/>
      <c r="D29" s="29" t="str">
        <f t="shared" ref="D29:F29" si="24">IF(D28&lt;5,"PASS","FAIL")</f>
        <v>PASS</v>
      </c>
      <c r="E29" s="29" t="str">
        <f t="shared" si="24"/>
        <v>PASS</v>
      </c>
      <c r="F29" s="29" t="str">
        <f t="shared" si="24"/>
        <v>PASS</v>
      </c>
      <c r="G29" s="4"/>
      <c r="H29" s="4"/>
      <c r="I29" s="4"/>
      <c r="J29" s="4"/>
      <c r="K29" s="4"/>
      <c r="L29" s="4"/>
      <c r="M29" s="4"/>
      <c r="N29" s="4"/>
      <c r="O29" s="4"/>
      <c r="P29" s="29" t="str">
        <f t="shared" ref="P29:R29" si="25">IF(P28&lt;5,"PASS","FAIL")</f>
        <v>PASS</v>
      </c>
      <c r="Q29" s="29" t="str">
        <f t="shared" si="25"/>
        <v>PASS</v>
      </c>
      <c r="R29" s="29" t="str">
        <f t="shared" si="25"/>
        <v>PASS</v>
      </c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3">
      <c r="A31" s="4"/>
      <c r="B31" s="26" t="s">
        <v>33</v>
      </c>
      <c r="C31" s="27"/>
      <c r="D31" s="30"/>
      <c r="E31" s="30"/>
      <c r="F31" s="3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3">
      <c r="A32" s="4"/>
      <c r="B32" s="4" t="s">
        <v>34</v>
      </c>
      <c r="C32" s="21" t="s">
        <v>31</v>
      </c>
      <c r="D32" s="28">
        <f t="shared" ref="D32:F32" si="26">D18/D25</f>
        <v>4.1666666666666661</v>
      </c>
      <c r="E32" s="28">
        <f t="shared" si="26"/>
        <v>5.2413793103448274</v>
      </c>
      <c r="F32" s="28">
        <f t="shared" si="26"/>
        <v>6.8864774624373952</v>
      </c>
      <c r="G32" s="4"/>
      <c r="H32" s="31"/>
      <c r="I32" s="31"/>
      <c r="J32" s="31"/>
      <c r="K32" s="4"/>
      <c r="L32" s="4"/>
      <c r="M32" s="4"/>
      <c r="N32" s="4"/>
      <c r="O32" s="4"/>
      <c r="P32" s="28">
        <f t="shared" ref="P32:R32" si="27">P18/P25</f>
        <v>4.435483870967742</v>
      </c>
      <c r="Q32" s="28">
        <f t="shared" si="27"/>
        <v>6.0817307692307692</v>
      </c>
      <c r="R32" s="28">
        <f t="shared" si="27"/>
        <v>8.2524271844660184</v>
      </c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3">
      <c r="A33" s="4"/>
      <c r="B33" s="27" t="s">
        <v>35</v>
      </c>
      <c r="C33" s="4"/>
      <c r="D33" s="29" t="str">
        <f t="shared" ref="D33:F33" si="28">IF(D32&gt;2,"PASS","FAIL")</f>
        <v>PASS</v>
      </c>
      <c r="E33" s="29" t="str">
        <f t="shared" si="28"/>
        <v>PASS</v>
      </c>
      <c r="F33" s="29" t="str">
        <f t="shared" si="28"/>
        <v>PASS</v>
      </c>
      <c r="G33" s="4"/>
      <c r="H33" s="4"/>
      <c r="I33" s="4"/>
      <c r="J33" s="4"/>
      <c r="K33" s="4"/>
      <c r="L33" s="4"/>
      <c r="M33" s="4"/>
      <c r="N33" s="4"/>
      <c r="O33" s="4"/>
      <c r="P33" s="29" t="str">
        <f t="shared" ref="P33:R33" si="29">IF(P32&gt;2,"PASS","FAIL")</f>
        <v>PASS</v>
      </c>
      <c r="Q33" s="29" t="str">
        <f t="shared" si="29"/>
        <v>PASS</v>
      </c>
      <c r="R33" s="29" t="str">
        <f t="shared" si="29"/>
        <v>PASS</v>
      </c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D8:F8"/>
    <mergeCell ref="H8:J8"/>
    <mergeCell ref="L8:N8"/>
    <mergeCell ref="P8:R8"/>
  </mergeCells>
  <pageMargins left="0.7" right="0.7" top="0.75" bottom="0.75" header="0" footer="0"/>
  <pageSetup paperSize="9" scale="6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dcterms:created xsi:type="dcterms:W3CDTF">2021-05-18T04:07:42Z</dcterms:created>
  <dcterms:modified xsi:type="dcterms:W3CDTF">2025-05-02T15:08:30Z</dcterms:modified>
</cp:coreProperties>
</file>